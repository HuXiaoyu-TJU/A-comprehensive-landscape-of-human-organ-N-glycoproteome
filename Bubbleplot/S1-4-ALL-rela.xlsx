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00-Draft_25\zz_Figurez3Sialicacid\"/>
    </mc:Choice>
  </mc:AlternateContent>
  <xr:revisionPtr revIDLastSave="0" documentId="13_ncr:1_{31CF1C7A-614E-4D4A-86AD-006391AC3FAE}" xr6:coauthVersionLast="47" xr6:coauthVersionMax="47" xr10:uidLastSave="{00000000-0000-0000-0000-000000000000}"/>
  <bookViews>
    <workbookView xWindow="-103" yWindow="-103" windowWidth="19406" windowHeight="11486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2" l="1"/>
  <c r="F3" i="2"/>
  <c r="F18" i="2"/>
  <c r="F9" i="2"/>
  <c r="F7" i="2"/>
  <c r="F16" i="2"/>
  <c r="F8" i="2"/>
  <c r="F4" i="2"/>
  <c r="F5" i="2"/>
  <c r="F14" i="2"/>
  <c r="F15" i="2"/>
  <c r="F13" i="2"/>
  <c r="F19" i="2"/>
  <c r="F12" i="2"/>
  <c r="F6" i="2"/>
  <c r="F11" i="2"/>
  <c r="F17" i="2"/>
  <c r="F10" i="2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<sst xmlns="http://schemas.openxmlformats.org/spreadsheetml/2006/main" count="97" uniqueCount="24">
  <si>
    <t>Organ</t>
  </si>
  <si>
    <t>S1</t>
  </si>
  <si>
    <t>S2</t>
  </si>
  <si>
    <t>S3</t>
  </si>
  <si>
    <t>S4</t>
  </si>
  <si>
    <t>sum</t>
  </si>
  <si>
    <t>Adrenal gland</t>
  </si>
  <si>
    <t>Brain</t>
  </si>
  <si>
    <t>Colon</t>
  </si>
  <si>
    <t>Fat</t>
  </si>
  <si>
    <t>Heart</t>
  </si>
  <si>
    <t>Intestine</t>
  </si>
  <si>
    <t>Kidney</t>
  </si>
  <si>
    <t>Liver</t>
  </si>
  <si>
    <t>Lung</t>
  </si>
  <si>
    <t>Muscle</t>
  </si>
  <si>
    <t>Oesophagus</t>
  </si>
  <si>
    <t>Ovary</t>
  </si>
  <si>
    <t>Pancreas</t>
  </si>
  <si>
    <t>Prostate</t>
  </si>
  <si>
    <t>Spleen</t>
  </si>
  <si>
    <t>Stomach</t>
  </si>
  <si>
    <t>Tetis</t>
  </si>
  <si>
    <t>Urinary bladder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</si>
</sst>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E+00"/>
  </numFmts>
  <fonts count="10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charset val="134"/>
      <scheme val="minor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  <font>
      <sz val="11"/>
      <name val="宋体"/>
      <family val="3"/>
      <charset val="134"/>
      <scheme val="minor"/>
    </font>
    <font>
      <b/>
      <sz val="11"/>
      <name val="Times New Roman"/>
      <family val="1"/>
    </font>
    <font>
      <b/>
      <sz val="11"/>
      <color theme="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Border="1">
      <alignment vertical="center"/>
    </xf>
    <xf numFmtId="177" fontId="1" fillId="0" borderId="0" xfId="0" applyNumberFormat="1" applyFont="1" applyBorder="1">
      <alignment vertical="center"/>
    </xf>
    <xf numFmtId="177" fontId="0" fillId="0" borderId="0" xfId="0" applyNumberFormat="1">
      <alignment vertical="center"/>
    </xf>
    <xf numFmtId="0" fontId="3" fillId="0" borderId="0" xfId="0" applyFont="1" applyBorder="1">
      <alignment vertical="center"/>
    </xf>
    <xf numFmtId="0" fontId="4" fillId="0" borderId="0" xfId="0" applyFont="1" applyBorder="1">
      <alignment vertical="center"/>
    </xf>
    <xf numFmtId="177" fontId="5" fillId="0" borderId="0" xfId="0" applyNumberFormat="1" applyFont="1">
      <alignment vertical="center"/>
    </xf>
    <xf numFmtId="0" fontId="6" fillId="0" borderId="0" xfId="0" applyFont="1" applyBorder="1">
      <alignment vertical="center"/>
    </xf>
    <xf numFmtId="177" fontId="6" fillId="0" borderId="0" xfId="0" applyNumberFormat="1" applyFont="1" applyBorder="1">
      <alignment vertical="center"/>
    </xf>
    <xf numFmtId="0" fontId="7" fillId="0" borderId="0" xfId="0" applyFont="1">
      <alignment vertical="center"/>
    </xf>
    <xf numFmtId="0" fontId="8" fillId="0" borderId="0" xfId="0" applyFont="1" applyBorder="1">
      <alignment vertical="center"/>
    </xf>
    <xf numFmtId="177" fontId="7" fillId="0" borderId="0" xfId="0" applyNumberFormat="1" applyFont="1">
      <alignment vertical="center"/>
    </xf>
    <xf numFmtId="0" fontId="9" fillId="0" borderId="0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10885</xdr:colOff>
      <xdr:row>0</xdr:row>
      <xdr:rowOff>103415</xdr:rowOff>
    </xdr:from>
    <xdr:to>
      <xdr:col>14</xdr:col>
      <xdr:colOff>43542</xdr:colOff>
      <xdr:row>5</xdr:row>
      <xdr:rowOff>163286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84E236BE-99C3-4854-99A7-D049A0A03E37}"/>
            </a:ext>
          </a:extLst>
        </xdr:cNvPr>
        <xdr:cNvSpPr txBox="1"/>
      </xdr:nvSpPr>
      <xdr:spPr>
        <a:xfrm>
          <a:off x="5116285" y="103415"/>
          <a:ext cx="3853543" cy="9579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选出一直都在前五的</a:t>
          </a:r>
          <a:r>
            <a:rPr lang="en-US" altLang="zh-CN" sz="1100"/>
            <a:t>organ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workbookViewId="0">
      <selection activeCell="C13" sqref="A1:F19"/>
    </sheetView>
  </sheetViews>
  <sheetFormatPr defaultColWidth="9" defaultRowHeight="14.15" x14ac:dyDescent="0.3"/>
  <cols>
    <col min="2" max="2" width="11.921875" style="3" customWidth="1"/>
    <col min="3" max="3" width="12.07421875" style="3" customWidth="1"/>
    <col min="4" max="5" width="9" style="3"/>
    <col min="6" max="6" width="12.61328125" style="3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1" t="s">
        <v>6</v>
      </c>
      <c r="B2" s="3">
        <v>12246758134.177</v>
      </c>
      <c r="C2" s="3">
        <v>12316068071.573</v>
      </c>
      <c r="D2" s="3">
        <v>167227091.9655</v>
      </c>
      <c r="E2" s="3">
        <v>14295961.752</v>
      </c>
      <c r="F2" s="3">
        <f t="shared" ref="F2:F19" si="0">SUM(B2:E2)</f>
        <v>24744349259.467499</v>
      </c>
    </row>
    <row r="3" spans="1:6" x14ac:dyDescent="0.3">
      <c r="A3" s="1" t="s">
        <v>7</v>
      </c>
      <c r="B3" s="3">
        <v>1686653286.4061</v>
      </c>
      <c r="C3" s="3">
        <v>53846591.609200001</v>
      </c>
      <c r="D3" s="3">
        <v>311726.91629999998</v>
      </c>
      <c r="E3" s="3">
        <v>0</v>
      </c>
      <c r="F3" s="3">
        <f t="shared" si="0"/>
        <v>1740811604.9316001</v>
      </c>
    </row>
    <row r="4" spans="1:6" x14ac:dyDescent="0.3">
      <c r="A4" s="1" t="s">
        <v>8</v>
      </c>
      <c r="B4" s="3">
        <v>2003758379.54</v>
      </c>
      <c r="C4" s="3">
        <v>13363554241.466999</v>
      </c>
      <c r="D4" s="3">
        <v>281437291.13</v>
      </c>
      <c r="E4" s="3">
        <v>0</v>
      </c>
      <c r="F4" s="3">
        <f t="shared" si="0"/>
        <v>15648749912.136999</v>
      </c>
    </row>
    <row r="5" spans="1:6" x14ac:dyDescent="0.3">
      <c r="A5" s="1" t="s">
        <v>9</v>
      </c>
      <c r="B5" s="3">
        <v>27196814664.4062</v>
      </c>
      <c r="C5" s="3">
        <v>18863375199.724499</v>
      </c>
      <c r="D5" s="3">
        <v>515659978.58960003</v>
      </c>
      <c r="E5" s="3">
        <v>16862141.816</v>
      </c>
      <c r="F5" s="3">
        <f t="shared" si="0"/>
        <v>46592711984.536301</v>
      </c>
    </row>
    <row r="6" spans="1:6" x14ac:dyDescent="0.3">
      <c r="A6" s="1" t="s">
        <v>10</v>
      </c>
      <c r="B6" s="3">
        <v>11759098040.530001</v>
      </c>
      <c r="C6" s="3">
        <v>135798469.97999999</v>
      </c>
      <c r="D6" s="3">
        <v>0</v>
      </c>
      <c r="E6" s="3">
        <v>0</v>
      </c>
      <c r="F6" s="3">
        <f t="shared" si="0"/>
        <v>11894896510.51</v>
      </c>
    </row>
    <row r="7" spans="1:6" x14ac:dyDescent="0.3">
      <c r="A7" s="1" t="s">
        <v>11</v>
      </c>
      <c r="B7" s="3">
        <v>517958445.36500001</v>
      </c>
      <c r="C7" s="3">
        <v>187895409.59999999</v>
      </c>
      <c r="D7" s="3">
        <v>247264496.2105</v>
      </c>
      <c r="E7" s="3">
        <v>0</v>
      </c>
      <c r="F7" s="3">
        <f t="shared" si="0"/>
        <v>953118351.17550004</v>
      </c>
    </row>
    <row r="8" spans="1:6" x14ac:dyDescent="0.3">
      <c r="A8" s="1" t="s">
        <v>12</v>
      </c>
      <c r="B8" s="3">
        <v>6419517374.3800001</v>
      </c>
      <c r="C8" s="3">
        <v>4946461297.8699999</v>
      </c>
      <c r="D8" s="3">
        <v>347433518.44999999</v>
      </c>
      <c r="E8" s="3">
        <v>0</v>
      </c>
      <c r="F8" s="3">
        <f t="shared" si="0"/>
        <v>11713412190.700001</v>
      </c>
    </row>
    <row r="9" spans="1:6" x14ac:dyDescent="0.3">
      <c r="A9" s="1" t="s">
        <v>13</v>
      </c>
      <c r="B9" s="3">
        <v>3238899208.4299998</v>
      </c>
      <c r="C9" s="3">
        <v>571896485.12549996</v>
      </c>
      <c r="D9" s="3">
        <v>3312770.4169999999</v>
      </c>
      <c r="E9" s="3">
        <v>0</v>
      </c>
      <c r="F9" s="3">
        <f t="shared" si="0"/>
        <v>3814108463.9724998</v>
      </c>
    </row>
    <row r="10" spans="1:6" x14ac:dyDescent="0.3">
      <c r="A10" s="1" t="s">
        <v>14</v>
      </c>
      <c r="B10" s="3">
        <v>7844744594.9569998</v>
      </c>
      <c r="C10" s="3">
        <v>633465893.34000003</v>
      </c>
      <c r="D10" s="3">
        <v>0</v>
      </c>
      <c r="E10" s="3">
        <v>0</v>
      </c>
      <c r="F10" s="3">
        <f t="shared" si="0"/>
        <v>8478210488.2969999</v>
      </c>
    </row>
    <row r="11" spans="1:6" x14ac:dyDescent="0.3">
      <c r="A11" s="1" t="s">
        <v>15</v>
      </c>
      <c r="B11" s="3">
        <v>19948536417.966</v>
      </c>
      <c r="C11" s="3">
        <v>27145207395.904999</v>
      </c>
      <c r="D11" s="3">
        <v>302287843.16000003</v>
      </c>
      <c r="E11" s="3">
        <v>0</v>
      </c>
      <c r="F11" s="3">
        <f t="shared" si="0"/>
        <v>47396031657.031006</v>
      </c>
    </row>
    <row r="12" spans="1:6" x14ac:dyDescent="0.3">
      <c r="A12" s="1" t="s">
        <v>16</v>
      </c>
      <c r="B12" s="3">
        <v>26055587260.584999</v>
      </c>
      <c r="C12" s="3">
        <v>32348841724.569302</v>
      </c>
      <c r="D12" s="3">
        <v>454689953.57249999</v>
      </c>
      <c r="E12" s="3">
        <v>0</v>
      </c>
      <c r="F12" s="3">
        <f t="shared" si="0"/>
        <v>58859118938.726799</v>
      </c>
    </row>
    <row r="13" spans="1:6" x14ac:dyDescent="0.3">
      <c r="A13" s="1" t="s">
        <v>17</v>
      </c>
      <c r="B13" s="3">
        <v>33857174724.314499</v>
      </c>
      <c r="C13" s="3">
        <v>1734480911.9089999</v>
      </c>
      <c r="D13" s="3">
        <v>1141803549.3759999</v>
      </c>
      <c r="E13" s="3">
        <v>61540606.049999997</v>
      </c>
      <c r="F13" s="3">
        <f t="shared" si="0"/>
        <v>36794999791.649498</v>
      </c>
    </row>
    <row r="14" spans="1:6" x14ac:dyDescent="0.3">
      <c r="A14" s="1" t="s">
        <v>18</v>
      </c>
      <c r="B14" s="3">
        <v>1184490035.8169999</v>
      </c>
      <c r="C14" s="3">
        <v>2027131575.76</v>
      </c>
      <c r="D14" s="3">
        <v>0</v>
      </c>
      <c r="E14" s="3">
        <v>0</v>
      </c>
      <c r="F14" s="3">
        <f t="shared" si="0"/>
        <v>3211621611.5769997</v>
      </c>
    </row>
    <row r="15" spans="1:6" x14ac:dyDescent="0.3">
      <c r="A15" s="1" t="s">
        <v>19</v>
      </c>
      <c r="B15" s="3">
        <v>22366311834.522999</v>
      </c>
      <c r="C15" s="3">
        <v>22033889696.327999</v>
      </c>
      <c r="D15" s="3">
        <v>87254019.739999995</v>
      </c>
      <c r="E15" s="3">
        <v>52376672.465499997</v>
      </c>
      <c r="F15" s="3">
        <f t="shared" si="0"/>
        <v>44539832223.056496</v>
      </c>
    </row>
    <row r="16" spans="1:6" x14ac:dyDescent="0.3">
      <c r="A16" s="1" t="s">
        <v>20</v>
      </c>
      <c r="B16" s="3">
        <v>3158998592.5999999</v>
      </c>
      <c r="C16" s="3">
        <v>21535250404.861</v>
      </c>
      <c r="D16" s="3">
        <v>58432039.405000001</v>
      </c>
      <c r="E16" s="3">
        <v>0</v>
      </c>
      <c r="F16" s="3">
        <f t="shared" si="0"/>
        <v>24752681036.865997</v>
      </c>
    </row>
    <row r="17" spans="1:6" x14ac:dyDescent="0.3">
      <c r="A17" s="1" t="s">
        <v>21</v>
      </c>
      <c r="B17" s="3">
        <v>944961008.83000004</v>
      </c>
      <c r="C17" s="3">
        <v>168649705.375</v>
      </c>
      <c r="D17" s="3">
        <v>0</v>
      </c>
      <c r="E17" s="3">
        <v>0</v>
      </c>
      <c r="F17" s="3">
        <f t="shared" si="0"/>
        <v>1113610714.2049999</v>
      </c>
    </row>
    <row r="18" spans="1:6" x14ac:dyDescent="0.3">
      <c r="A18" s="1" t="s">
        <v>22</v>
      </c>
      <c r="B18" s="3">
        <v>28505810270.513</v>
      </c>
      <c r="C18" s="3">
        <v>31435655579.2785</v>
      </c>
      <c r="D18" s="3">
        <v>758010896.62399995</v>
      </c>
      <c r="E18" s="3">
        <v>32101445.567000002</v>
      </c>
      <c r="F18" s="3">
        <f t="shared" si="0"/>
        <v>60731578191.982506</v>
      </c>
    </row>
    <row r="19" spans="1:6" x14ac:dyDescent="0.3">
      <c r="A19" s="1" t="s">
        <v>23</v>
      </c>
      <c r="B19" s="3">
        <v>35115275866.571098</v>
      </c>
      <c r="C19" s="3">
        <v>47930278648.4935</v>
      </c>
      <c r="D19" s="3">
        <v>408843503.85900003</v>
      </c>
      <c r="E19" s="3">
        <v>30650843.704999998</v>
      </c>
      <c r="F19" s="3">
        <f t="shared" si="0"/>
        <v>83485048862.628601</v>
      </c>
    </row>
    <row r="20" spans="1:6" x14ac:dyDescent="0.3">
      <c r="A20" s="1"/>
      <c r="B20" s="2"/>
      <c r="C20" s="2"/>
      <c r="D20" s="2"/>
      <c r="E20" s="2"/>
    </row>
    <row r="21" spans="1:6" x14ac:dyDescent="0.3">
      <c r="A21" s="1"/>
      <c r="B21" s="2"/>
      <c r="C21" s="2"/>
      <c r="D21" s="2"/>
      <c r="E21" s="2"/>
    </row>
    <row r="22" spans="1:6" x14ac:dyDescent="0.3">
      <c r="A22" s="1"/>
      <c r="B22" s="2"/>
      <c r="C22" s="2"/>
      <c r="D22" s="2"/>
      <c r="E22" s="2"/>
    </row>
    <row r="23" spans="1:6" x14ac:dyDescent="0.3">
      <c r="A23" s="1"/>
      <c r="B23" s="2"/>
      <c r="C23" s="2"/>
      <c r="D23" s="2"/>
      <c r="E23" s="2"/>
    </row>
    <row r="24" spans="1:6" x14ac:dyDescent="0.3">
      <c r="A24" s="1"/>
      <c r="B24" s="2"/>
      <c r="C24" s="2"/>
      <c r="D24" s="2"/>
      <c r="E24" s="2"/>
    </row>
    <row r="25" spans="1:6" x14ac:dyDescent="0.3">
      <c r="A25" s="1"/>
      <c r="B25" s="2"/>
      <c r="C25" s="2"/>
      <c r="D25" s="2"/>
      <c r="E25" s="2"/>
    </row>
    <row r="26" spans="1:6" x14ac:dyDescent="0.3">
      <c r="A26" s="1"/>
      <c r="B26" s="2"/>
      <c r="C26" s="2"/>
      <c r="D26" s="2"/>
      <c r="E26" s="2"/>
    </row>
    <row r="27" spans="1:6" x14ac:dyDescent="0.3">
      <c r="A27" s="1"/>
      <c r="B27" s="2"/>
      <c r="C27" s="2"/>
      <c r="D27" s="2"/>
      <c r="E27" s="2"/>
    </row>
    <row r="28" spans="1:6" x14ac:dyDescent="0.3">
      <c r="A28" s="1"/>
      <c r="B28" s="2"/>
      <c r="C28" s="2"/>
      <c r="D28" s="2"/>
      <c r="E28" s="2"/>
    </row>
    <row r="29" spans="1:6" x14ac:dyDescent="0.3">
      <c r="A29" s="1"/>
      <c r="B29" s="2"/>
      <c r="C29" s="2"/>
      <c r="D29" s="2"/>
      <c r="E29" s="2"/>
    </row>
    <row r="30" spans="1:6" x14ac:dyDescent="0.3">
      <c r="A30" s="1"/>
      <c r="B30" s="2"/>
      <c r="C30" s="2"/>
      <c r="D30" s="2"/>
      <c r="E30" s="2"/>
    </row>
    <row r="31" spans="1:6" x14ac:dyDescent="0.3">
      <c r="A31" s="1"/>
      <c r="B31" s="2"/>
      <c r="C31" s="2"/>
      <c r="D31" s="2"/>
      <c r="E31" s="2"/>
    </row>
    <row r="32" spans="1:6" x14ac:dyDescent="0.3">
      <c r="A32" s="1"/>
      <c r="B32" s="2"/>
      <c r="C32" s="2"/>
      <c r="D32" s="2"/>
      <c r="E32" s="2"/>
    </row>
    <row r="33" spans="1:5" x14ac:dyDescent="0.3">
      <c r="A33" s="1"/>
      <c r="B33" s="2"/>
      <c r="C33" s="2"/>
      <c r="D33" s="2"/>
      <c r="E33" s="2"/>
    </row>
    <row r="34" spans="1:5" x14ac:dyDescent="0.3">
      <c r="A34" s="1"/>
      <c r="B34" s="2"/>
      <c r="C34" s="2"/>
      <c r="D34" s="2"/>
      <c r="E34" s="2"/>
    </row>
    <row r="35" spans="1:5" x14ac:dyDescent="0.3">
      <c r="A35" s="1"/>
      <c r="B35" s="2"/>
      <c r="C35" s="2"/>
      <c r="D35" s="2"/>
      <c r="E35" s="2"/>
    </row>
    <row r="36" spans="1:5" x14ac:dyDescent="0.3">
      <c r="A36" s="1"/>
      <c r="B36" s="2"/>
      <c r="C36" s="2"/>
      <c r="D36" s="2"/>
      <c r="E36" s="2"/>
    </row>
    <row r="37" spans="1:5" x14ac:dyDescent="0.3">
      <c r="A37" s="1"/>
      <c r="B37" s="2"/>
      <c r="C37" s="2"/>
      <c r="D37" s="2"/>
      <c r="E37" s="2"/>
    </row>
    <row r="38" spans="1:5" x14ac:dyDescent="0.3">
      <c r="A38" s="1"/>
      <c r="B38" s="2"/>
      <c r="C38" s="2"/>
      <c r="D38" s="2"/>
      <c r="E38" s="2"/>
    </row>
    <row r="39" spans="1:5" x14ac:dyDescent="0.3">
      <c r="A39" s="1"/>
      <c r="B39" s="2"/>
      <c r="C39" s="2"/>
      <c r="D39" s="2"/>
      <c r="E39" s="2"/>
    </row>
    <row r="40" spans="1:5" x14ac:dyDescent="0.3">
      <c r="A40" s="1"/>
      <c r="B40" s="2"/>
      <c r="C40" s="2"/>
      <c r="D40" s="2"/>
      <c r="E40" s="2"/>
    </row>
    <row r="41" spans="1:5" x14ac:dyDescent="0.3">
      <c r="A41" s="1"/>
      <c r="B41" s="2"/>
      <c r="C41" s="2"/>
      <c r="D41" s="2"/>
      <c r="E41" s="2"/>
    </row>
    <row r="42" spans="1:5" x14ac:dyDescent="0.3">
      <c r="A42" s="1"/>
      <c r="B42" s="2"/>
      <c r="C42" s="2"/>
      <c r="D42" s="2"/>
      <c r="E42" s="2"/>
    </row>
    <row r="43" spans="1:5" x14ac:dyDescent="0.3">
      <c r="A43" s="1"/>
      <c r="B43" s="2"/>
      <c r="C43" s="2"/>
      <c r="D43" s="2"/>
      <c r="E43" s="2"/>
    </row>
    <row r="44" spans="1:5" x14ac:dyDescent="0.3">
      <c r="A44" s="1"/>
      <c r="B44" s="2"/>
      <c r="C44" s="2"/>
      <c r="D44" s="2"/>
      <c r="E44" s="2"/>
    </row>
    <row r="45" spans="1:5" x14ac:dyDescent="0.3">
      <c r="A45" s="1"/>
      <c r="B45" s="2"/>
      <c r="C45" s="2"/>
      <c r="D45" s="2"/>
      <c r="E45" s="2"/>
    </row>
    <row r="46" spans="1:5" x14ac:dyDescent="0.3">
      <c r="A46" s="1"/>
      <c r="B46" s="2"/>
      <c r="C46" s="2"/>
      <c r="D46" s="2"/>
      <c r="E46" s="2"/>
    </row>
    <row r="47" spans="1:5" x14ac:dyDescent="0.3">
      <c r="A47" s="1"/>
      <c r="B47" s="2"/>
      <c r="C47" s="2"/>
      <c r="D47" s="2"/>
      <c r="E47" s="2"/>
    </row>
    <row r="48" spans="1:5" x14ac:dyDescent="0.3">
      <c r="A48" s="1"/>
      <c r="B48" s="2"/>
      <c r="C48" s="2"/>
      <c r="D48" s="2"/>
      <c r="E48" s="2"/>
    </row>
    <row r="49" spans="1:5" x14ac:dyDescent="0.3">
      <c r="A49" s="1"/>
      <c r="B49" s="2"/>
      <c r="C49" s="2"/>
      <c r="D49" s="2"/>
      <c r="E49" s="2"/>
    </row>
    <row r="50" spans="1:5" x14ac:dyDescent="0.3">
      <c r="A50" s="1"/>
      <c r="B50" s="2"/>
      <c r="C50" s="2"/>
      <c r="D50" s="2"/>
      <c r="E50" s="2"/>
    </row>
    <row r="51" spans="1:5" x14ac:dyDescent="0.3">
      <c r="A51" s="1"/>
      <c r="B51" s="2"/>
      <c r="C51" s="2"/>
      <c r="D51" s="2"/>
      <c r="E51" s="2"/>
    </row>
    <row r="52" spans="1:5" x14ac:dyDescent="0.3">
      <c r="A52" s="1"/>
      <c r="B52" s="2"/>
      <c r="C52" s="2"/>
      <c r="D52" s="2"/>
      <c r="E52" s="2"/>
    </row>
    <row r="53" spans="1:5" x14ac:dyDescent="0.3">
      <c r="A53" s="1"/>
      <c r="B53" s="2"/>
      <c r="C53" s="2"/>
      <c r="D53" s="2"/>
      <c r="E53" s="2"/>
    </row>
    <row r="54" spans="1:5" x14ac:dyDescent="0.3">
      <c r="A54" s="1"/>
      <c r="B54" s="2"/>
      <c r="C54" s="2"/>
      <c r="D54" s="2"/>
      <c r="E54" s="2"/>
    </row>
    <row r="55" spans="1:5" x14ac:dyDescent="0.3">
      <c r="A55" s="1"/>
      <c r="B55" s="2"/>
      <c r="C55" s="2"/>
      <c r="D55" s="2"/>
      <c r="E55" s="2"/>
    </row>
    <row r="56" spans="1:5" x14ac:dyDescent="0.3">
      <c r="A56" s="1"/>
      <c r="B56" s="2"/>
      <c r="C56" s="2"/>
      <c r="D56" s="2"/>
      <c r="E56" s="2"/>
    </row>
    <row r="57" spans="1:5" x14ac:dyDescent="0.3">
      <c r="A57" s="1"/>
      <c r="B57" s="2"/>
      <c r="C57" s="2"/>
      <c r="D57" s="2"/>
      <c r="E57" s="2"/>
    </row>
    <row r="58" spans="1:5" x14ac:dyDescent="0.3">
      <c r="A58" s="1"/>
      <c r="B58" s="2"/>
      <c r="C58" s="2"/>
      <c r="D58" s="2"/>
      <c r="E58" s="2"/>
    </row>
    <row r="59" spans="1:5" x14ac:dyDescent="0.3">
      <c r="A59" s="1"/>
      <c r="B59" s="2"/>
      <c r="C59" s="2"/>
      <c r="D59" s="2"/>
      <c r="E59" s="2"/>
    </row>
    <row r="60" spans="1:5" x14ac:dyDescent="0.3">
      <c r="A60" s="1"/>
      <c r="B60" s="2"/>
      <c r="C60" s="2"/>
      <c r="D60" s="2"/>
      <c r="E60" s="2"/>
    </row>
    <row r="61" spans="1:5" x14ac:dyDescent="0.3">
      <c r="A61" s="1"/>
      <c r="B61" s="2"/>
      <c r="C61" s="2"/>
      <c r="D61" s="2"/>
      <c r="E61" s="2"/>
    </row>
    <row r="62" spans="1:5" x14ac:dyDescent="0.3">
      <c r="A62" s="1"/>
      <c r="B62" s="2"/>
      <c r="C62" s="2"/>
      <c r="D62" s="2"/>
      <c r="E62" s="2"/>
    </row>
    <row r="63" spans="1:5" x14ac:dyDescent="0.3">
      <c r="A63" s="1"/>
      <c r="B63" s="2"/>
      <c r="C63" s="2"/>
      <c r="D63" s="2"/>
      <c r="E63" s="2"/>
    </row>
    <row r="64" spans="1:5" x14ac:dyDescent="0.3">
      <c r="A64" s="1"/>
      <c r="B64" s="2"/>
      <c r="C64" s="2"/>
      <c r="D64" s="2"/>
      <c r="E64" s="2"/>
    </row>
    <row r="65" spans="1:5" x14ac:dyDescent="0.3">
      <c r="A65" s="1"/>
      <c r="B65" s="2"/>
      <c r="C65" s="2"/>
      <c r="D65" s="2"/>
      <c r="E65" s="2"/>
    </row>
    <row r="66" spans="1:5" x14ac:dyDescent="0.3">
      <c r="A66" s="1"/>
      <c r="B66" s="2"/>
      <c r="C66" s="2"/>
      <c r="D66" s="2"/>
      <c r="E66" s="2"/>
    </row>
    <row r="67" spans="1:5" x14ac:dyDescent="0.3">
      <c r="A67" s="1"/>
      <c r="B67" s="2"/>
      <c r="C67" s="2"/>
      <c r="D67" s="2"/>
      <c r="E67" s="2"/>
    </row>
    <row r="68" spans="1:5" x14ac:dyDescent="0.3">
      <c r="A68" s="1"/>
      <c r="B68" s="2"/>
      <c r="C68" s="2"/>
      <c r="D68" s="2"/>
      <c r="E68" s="2"/>
    </row>
    <row r="69" spans="1:5" x14ac:dyDescent="0.3">
      <c r="A69" s="1"/>
      <c r="B69" s="2"/>
      <c r="C69" s="2"/>
      <c r="D69" s="2"/>
      <c r="E69" s="2"/>
    </row>
    <row r="70" spans="1:5" x14ac:dyDescent="0.3">
      <c r="A70" s="1"/>
      <c r="B70" s="2"/>
      <c r="C70" s="2"/>
      <c r="D70" s="2"/>
      <c r="E70" s="2"/>
    </row>
    <row r="71" spans="1:5" x14ac:dyDescent="0.3">
      <c r="A71" s="1"/>
      <c r="B71" s="2"/>
      <c r="C71" s="2"/>
      <c r="D71" s="2"/>
      <c r="E71" s="2"/>
    </row>
    <row r="72" spans="1:5" x14ac:dyDescent="0.3">
      <c r="A72" s="1"/>
      <c r="B72" s="2"/>
      <c r="C72" s="2"/>
      <c r="D72" s="2"/>
      <c r="E72" s="2"/>
    </row>
    <row r="73" spans="1:5" x14ac:dyDescent="0.3">
      <c r="A73" s="1"/>
      <c r="B73" s="2"/>
      <c r="C73" s="2"/>
      <c r="D73" s="2"/>
      <c r="E73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9"/>
  <sheetViews>
    <sheetView tabSelected="1" workbookViewId="0">
      <selection activeCell="I16" sqref="I16"/>
    </sheetView>
  </sheetViews>
  <sheetFormatPr defaultColWidth="9" defaultRowHeight="14.15" x14ac:dyDescent="0.3"/>
  <cols>
    <col min="2" max="2" width="9.15234375" customWidth="1"/>
  </cols>
  <sheetData>
    <row r="1" spans="1:2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25" x14ac:dyDescent="0.3">
      <c r="A2" s="4" t="s">
        <v>23</v>
      </c>
      <c r="B2" s="3">
        <v>35115275866.571098</v>
      </c>
      <c r="C2" s="3">
        <v>47930278648.4935</v>
      </c>
      <c r="D2" s="3">
        <v>408843503.85900003</v>
      </c>
      <c r="E2" s="3">
        <v>30650843.704999998</v>
      </c>
      <c r="F2" s="3">
        <f>SUM(B2:E2)</f>
        <v>83485048862.628601</v>
      </c>
    </row>
    <row r="3" spans="1:25" x14ac:dyDescent="0.3">
      <c r="A3" s="4" t="s">
        <v>22</v>
      </c>
      <c r="B3" s="3">
        <v>28505810270.513</v>
      </c>
      <c r="C3" s="3">
        <v>31435655579.2785</v>
      </c>
      <c r="D3" s="3">
        <v>758010896.62399995</v>
      </c>
      <c r="E3" s="3">
        <v>32101445.567000002</v>
      </c>
      <c r="F3" s="3">
        <f>SUM(B3:E3)</f>
        <v>60731578191.982506</v>
      </c>
    </row>
    <row r="4" spans="1:25" x14ac:dyDescent="0.3">
      <c r="A4" s="4" t="s">
        <v>16</v>
      </c>
      <c r="B4" s="3">
        <v>26055587260.584999</v>
      </c>
      <c r="C4" s="3">
        <v>32348841724.569302</v>
      </c>
      <c r="D4" s="3">
        <v>454689953.57249999</v>
      </c>
      <c r="E4" s="3">
        <v>0</v>
      </c>
      <c r="F4" s="3">
        <f>SUM(B4:E4)</f>
        <v>58859118938.726799</v>
      </c>
    </row>
    <row r="5" spans="1:25" x14ac:dyDescent="0.3">
      <c r="A5" s="4" t="s">
        <v>15</v>
      </c>
      <c r="B5" s="3">
        <v>19948536417.966</v>
      </c>
      <c r="C5" s="3">
        <v>27145207395.904999</v>
      </c>
      <c r="D5" s="3">
        <v>302287843.16000003</v>
      </c>
      <c r="E5" s="3">
        <v>0</v>
      </c>
      <c r="F5" s="3">
        <f>SUM(B5:E5)</f>
        <v>47396031657.031006</v>
      </c>
    </row>
    <row r="6" spans="1:25" x14ac:dyDescent="0.3">
      <c r="A6" s="4" t="s">
        <v>9</v>
      </c>
      <c r="B6" s="3">
        <v>27196814664.4062</v>
      </c>
      <c r="C6" s="3">
        <v>18863375199.724499</v>
      </c>
      <c r="D6" s="3">
        <v>515659978.58960003</v>
      </c>
      <c r="E6" s="3">
        <v>16862141.816</v>
      </c>
      <c r="F6" s="3">
        <f>SUM(B6:E6)</f>
        <v>46592711984.536301</v>
      </c>
      <c r="I6" s="7" t="s">
        <v>0</v>
      </c>
      <c r="J6" s="8" t="s">
        <v>1</v>
      </c>
      <c r="K6" s="9"/>
      <c r="L6" s="7" t="s">
        <v>0</v>
      </c>
      <c r="M6" s="8" t="s">
        <v>1</v>
      </c>
      <c r="N6" s="8" t="s">
        <v>2</v>
      </c>
      <c r="O6" s="9"/>
      <c r="P6" s="7" t="s">
        <v>0</v>
      </c>
      <c r="Q6" s="8" t="s">
        <v>1</v>
      </c>
      <c r="R6" s="8" t="s">
        <v>2</v>
      </c>
      <c r="S6" s="8" t="s">
        <v>3</v>
      </c>
      <c r="T6" s="9"/>
      <c r="U6" s="7" t="s">
        <v>0</v>
      </c>
      <c r="V6" s="8" t="s">
        <v>1</v>
      </c>
      <c r="W6" s="8" t="s">
        <v>2</v>
      </c>
      <c r="X6" s="8" t="s">
        <v>3</v>
      </c>
      <c r="Y6" s="8" t="s">
        <v>4</v>
      </c>
    </row>
    <row r="7" spans="1:25" x14ac:dyDescent="0.3">
      <c r="A7" s="1" t="s">
        <v>19</v>
      </c>
      <c r="B7" s="3">
        <v>22366311834.522999</v>
      </c>
      <c r="C7" s="3">
        <v>22033889696.327999</v>
      </c>
      <c r="D7" s="3">
        <v>87254019.739999995</v>
      </c>
      <c r="E7" s="3">
        <v>52376672.465499997</v>
      </c>
      <c r="F7" s="3">
        <f>SUM(B7:E7)</f>
        <v>44539832223.056496</v>
      </c>
      <c r="I7" s="12" t="s">
        <v>23</v>
      </c>
      <c r="J7" s="11">
        <v>35115275866.571098</v>
      </c>
      <c r="K7" s="9"/>
      <c r="L7" s="12" t="s">
        <v>23</v>
      </c>
      <c r="M7" s="11">
        <v>35115275866.571098</v>
      </c>
      <c r="N7" s="11">
        <v>47930278648.4935</v>
      </c>
      <c r="O7" s="9"/>
      <c r="P7" s="10" t="s">
        <v>17</v>
      </c>
      <c r="Q7" s="11">
        <v>33857174724.314499</v>
      </c>
      <c r="R7" s="11">
        <v>1734480911.9089999</v>
      </c>
      <c r="S7" s="11">
        <v>1141803549.3759999</v>
      </c>
      <c r="T7" s="9"/>
      <c r="U7" s="10" t="s">
        <v>17</v>
      </c>
      <c r="V7" s="11">
        <v>33857174724.314499</v>
      </c>
      <c r="W7" s="11">
        <v>1734480911.9089999</v>
      </c>
      <c r="X7" s="11">
        <v>1141803549.3759999</v>
      </c>
      <c r="Y7" s="11">
        <v>61540606.049999997</v>
      </c>
    </row>
    <row r="8" spans="1:25" x14ac:dyDescent="0.3">
      <c r="A8" s="1" t="s">
        <v>17</v>
      </c>
      <c r="B8" s="3">
        <v>33857174724.314499</v>
      </c>
      <c r="C8" s="3">
        <v>1734480911.9089999</v>
      </c>
      <c r="D8" s="3">
        <v>1141803549.3759999</v>
      </c>
      <c r="E8" s="3">
        <v>61540606.049999997</v>
      </c>
      <c r="F8" s="3">
        <f>SUM(B8:E8)</f>
        <v>36794999791.649498</v>
      </c>
      <c r="I8" s="10" t="s">
        <v>17</v>
      </c>
      <c r="J8" s="11">
        <v>33857174724.314499</v>
      </c>
      <c r="K8" s="9"/>
      <c r="L8" s="10" t="s">
        <v>16</v>
      </c>
      <c r="M8" s="11">
        <v>26055587260.584999</v>
      </c>
      <c r="N8" s="11">
        <v>32348841724.569302</v>
      </c>
      <c r="O8" s="9"/>
      <c r="P8" s="12" t="s">
        <v>22</v>
      </c>
      <c r="Q8" s="11">
        <v>28505810270.513</v>
      </c>
      <c r="R8" s="11">
        <v>31435655579.2785</v>
      </c>
      <c r="S8" s="11">
        <v>758010896.62399995</v>
      </c>
      <c r="T8" s="9"/>
      <c r="U8" s="10" t="s">
        <v>19</v>
      </c>
      <c r="V8" s="11">
        <v>22366311834.522999</v>
      </c>
      <c r="W8" s="11">
        <v>22033889696.327999</v>
      </c>
      <c r="X8" s="11">
        <v>87254019.739999995</v>
      </c>
      <c r="Y8" s="11">
        <v>52376672.465499997</v>
      </c>
    </row>
    <row r="9" spans="1:25" x14ac:dyDescent="0.3">
      <c r="A9" s="5" t="s">
        <v>20</v>
      </c>
      <c r="B9" s="6">
        <v>3158998592.5999999</v>
      </c>
      <c r="C9" s="6">
        <v>21535250404.861</v>
      </c>
      <c r="D9" s="3">
        <v>58432039.405000001</v>
      </c>
      <c r="E9" s="3">
        <v>0</v>
      </c>
      <c r="F9" s="3">
        <f>SUM(B9:E9)</f>
        <v>24752681036.865997</v>
      </c>
      <c r="I9" s="12" t="s">
        <v>22</v>
      </c>
      <c r="J9" s="11">
        <v>28505810270.513</v>
      </c>
      <c r="K9" s="9"/>
      <c r="L9" s="12" t="s">
        <v>22</v>
      </c>
      <c r="M9" s="11">
        <v>28505810270.513</v>
      </c>
      <c r="N9" s="11">
        <v>31435655579.2785</v>
      </c>
      <c r="O9" s="9"/>
      <c r="P9" s="10" t="s">
        <v>9</v>
      </c>
      <c r="Q9" s="11">
        <v>27196814664.4062</v>
      </c>
      <c r="R9" s="11">
        <v>18863375199.724499</v>
      </c>
      <c r="S9" s="11">
        <v>515659978.58960003</v>
      </c>
      <c r="T9" s="9"/>
      <c r="U9" s="12" t="s">
        <v>22</v>
      </c>
      <c r="V9" s="11">
        <v>28505810270.513</v>
      </c>
      <c r="W9" s="11">
        <v>31435655579.2785</v>
      </c>
      <c r="X9" s="11">
        <v>758010896.62399995</v>
      </c>
      <c r="Y9" s="11">
        <v>32101445.567000002</v>
      </c>
    </row>
    <row r="10" spans="1:25" x14ac:dyDescent="0.3">
      <c r="A10" s="1" t="s">
        <v>6</v>
      </c>
      <c r="B10" s="3">
        <v>12246758134.177</v>
      </c>
      <c r="C10" s="3">
        <v>12316068071.573</v>
      </c>
      <c r="D10" s="3">
        <v>167227091.9655</v>
      </c>
      <c r="E10" s="3">
        <v>14295961.752</v>
      </c>
      <c r="F10" s="3">
        <f>SUM(B10:E10)</f>
        <v>24744349259.467499</v>
      </c>
      <c r="I10" s="10" t="s">
        <v>9</v>
      </c>
      <c r="J10" s="11">
        <v>27196814664.4062</v>
      </c>
      <c r="K10" s="9"/>
      <c r="L10" s="10" t="s">
        <v>15</v>
      </c>
      <c r="M10" s="11">
        <v>19948536417.966</v>
      </c>
      <c r="N10" s="11">
        <v>27145207395.904999</v>
      </c>
      <c r="O10" s="9"/>
      <c r="P10" s="10" t="s">
        <v>16</v>
      </c>
      <c r="Q10" s="11">
        <v>26055587260.584999</v>
      </c>
      <c r="R10" s="11">
        <v>32348841724.569302</v>
      </c>
      <c r="S10" s="11">
        <v>454689953.57249999</v>
      </c>
      <c r="T10" s="9"/>
      <c r="U10" s="12" t="s">
        <v>23</v>
      </c>
      <c r="V10" s="11">
        <v>35115275866.571098</v>
      </c>
      <c r="W10" s="11">
        <v>47930278648.4935</v>
      </c>
      <c r="X10" s="11">
        <v>408843503.85900003</v>
      </c>
      <c r="Y10" s="11">
        <v>30650843.704999998</v>
      </c>
    </row>
    <row r="11" spans="1:25" x14ac:dyDescent="0.3">
      <c r="A11" s="5" t="s">
        <v>8</v>
      </c>
      <c r="B11" s="6">
        <v>2003758379.54</v>
      </c>
      <c r="C11" s="6">
        <v>13363554241.466999</v>
      </c>
      <c r="D11" s="3">
        <v>281437291.13</v>
      </c>
      <c r="E11" s="3">
        <v>0</v>
      </c>
      <c r="F11" s="3">
        <f>SUM(B11:E11)</f>
        <v>15648749912.136999</v>
      </c>
      <c r="I11" s="10" t="s">
        <v>16</v>
      </c>
      <c r="J11" s="11">
        <v>26055587260.584999</v>
      </c>
      <c r="K11" s="9"/>
      <c r="L11" s="10" t="s">
        <v>19</v>
      </c>
      <c r="M11" s="11">
        <v>22366311834.522999</v>
      </c>
      <c r="N11" s="11">
        <v>22033889696.327999</v>
      </c>
      <c r="O11" s="9"/>
      <c r="P11" s="12" t="s">
        <v>23</v>
      </c>
      <c r="Q11" s="11">
        <v>35115275866.571098</v>
      </c>
      <c r="R11" s="11">
        <v>47930278648.4935</v>
      </c>
      <c r="S11" s="11">
        <v>408843503.85900003</v>
      </c>
      <c r="T11" s="9"/>
      <c r="U11" s="10" t="s">
        <v>9</v>
      </c>
      <c r="V11" s="11">
        <v>27196814664.4062</v>
      </c>
      <c r="W11" s="11">
        <v>18863375199.724499</v>
      </c>
      <c r="X11" s="11">
        <v>515659978.58960003</v>
      </c>
      <c r="Y11" s="11">
        <v>16862141.816</v>
      </c>
    </row>
    <row r="12" spans="1:25" x14ac:dyDescent="0.3">
      <c r="A12" s="1" t="s">
        <v>10</v>
      </c>
      <c r="B12" s="3">
        <v>11759098040.530001</v>
      </c>
      <c r="C12" s="3">
        <v>135798469.97999999</v>
      </c>
      <c r="D12" s="3">
        <v>0</v>
      </c>
      <c r="E12" s="3">
        <v>0</v>
      </c>
      <c r="F12" s="3">
        <f>SUM(B12:E12)</f>
        <v>11894896510.51</v>
      </c>
      <c r="I12" s="7" t="s">
        <v>19</v>
      </c>
      <c r="J12" s="11">
        <v>22366311834.522999</v>
      </c>
      <c r="K12" s="9"/>
      <c r="L12" s="7" t="s">
        <v>20</v>
      </c>
      <c r="M12" s="11">
        <v>3158998592.5999999</v>
      </c>
      <c r="N12" s="11">
        <v>21535250404.861</v>
      </c>
      <c r="O12" s="9"/>
      <c r="P12" s="7" t="s">
        <v>12</v>
      </c>
      <c r="Q12" s="11">
        <v>6419517374.3800001</v>
      </c>
      <c r="R12" s="11">
        <v>4946461297.8699999</v>
      </c>
      <c r="S12" s="11">
        <v>347433518.44999999</v>
      </c>
      <c r="T12" s="9"/>
      <c r="U12" s="7" t="s">
        <v>6</v>
      </c>
      <c r="V12" s="11">
        <v>12246758134.177</v>
      </c>
      <c r="W12" s="11">
        <v>12316068071.573</v>
      </c>
      <c r="X12" s="11">
        <v>167227091.9655</v>
      </c>
      <c r="Y12" s="11">
        <v>14295961.752</v>
      </c>
    </row>
    <row r="13" spans="1:25" x14ac:dyDescent="0.3">
      <c r="A13" s="1" t="s">
        <v>12</v>
      </c>
      <c r="B13" s="3">
        <v>6419517374.3800001</v>
      </c>
      <c r="C13" s="3">
        <v>4946461297.8699999</v>
      </c>
      <c r="D13" s="3">
        <v>347433518.44999999</v>
      </c>
      <c r="E13" s="3">
        <v>0</v>
      </c>
      <c r="F13" s="3">
        <f>SUM(B13:E13)</f>
        <v>11713412190.700001</v>
      </c>
      <c r="I13" s="7" t="s">
        <v>15</v>
      </c>
      <c r="J13" s="11">
        <v>19948536417.966</v>
      </c>
      <c r="K13" s="9"/>
      <c r="L13" s="7" t="s">
        <v>9</v>
      </c>
      <c r="M13" s="11">
        <v>27196814664.4062</v>
      </c>
      <c r="N13" s="11">
        <v>18863375199.724499</v>
      </c>
      <c r="O13" s="9"/>
      <c r="P13" s="7" t="s">
        <v>15</v>
      </c>
      <c r="Q13" s="11">
        <v>19948536417.966</v>
      </c>
      <c r="R13" s="11">
        <v>27145207395.904999</v>
      </c>
      <c r="S13" s="11">
        <v>302287843.16000003</v>
      </c>
      <c r="T13" s="9"/>
      <c r="U13" s="7" t="s">
        <v>16</v>
      </c>
      <c r="V13" s="11">
        <v>26055587260.584999</v>
      </c>
      <c r="W13" s="11">
        <v>32348841724.569302</v>
      </c>
      <c r="X13" s="11">
        <v>454689953.57249999</v>
      </c>
      <c r="Y13" s="11">
        <v>0</v>
      </c>
    </row>
    <row r="14" spans="1:25" x14ac:dyDescent="0.3">
      <c r="A14" s="1" t="s">
        <v>14</v>
      </c>
      <c r="B14" s="3">
        <v>7844744594.9569998</v>
      </c>
      <c r="C14" s="3">
        <v>633465893.34000003</v>
      </c>
      <c r="D14" s="3">
        <v>0</v>
      </c>
      <c r="E14" s="3">
        <v>0</v>
      </c>
      <c r="F14" s="3">
        <f>SUM(B14:E14)</f>
        <v>8478210488.2969999</v>
      </c>
      <c r="I14" s="7" t="s">
        <v>6</v>
      </c>
      <c r="J14" s="11">
        <v>12246758134.177</v>
      </c>
      <c r="K14" s="9"/>
      <c r="L14" s="7" t="s">
        <v>8</v>
      </c>
      <c r="M14" s="11">
        <v>2003758379.54</v>
      </c>
      <c r="N14" s="11">
        <v>13363554241.466999</v>
      </c>
      <c r="O14" s="9"/>
      <c r="P14" s="7" t="s">
        <v>8</v>
      </c>
      <c r="Q14" s="11">
        <v>2003758379.54</v>
      </c>
      <c r="R14" s="11">
        <v>13363554241.466999</v>
      </c>
      <c r="S14" s="11">
        <v>281437291.13</v>
      </c>
      <c r="T14" s="9"/>
      <c r="U14" s="9"/>
      <c r="V14" s="9"/>
      <c r="W14" s="9"/>
      <c r="X14" s="9"/>
      <c r="Y14" s="9"/>
    </row>
    <row r="15" spans="1:25" x14ac:dyDescent="0.3">
      <c r="A15" s="1" t="s">
        <v>13</v>
      </c>
      <c r="B15" s="3">
        <v>3238899208.4299998</v>
      </c>
      <c r="C15" s="3">
        <v>571896485.12549996</v>
      </c>
      <c r="D15" s="3">
        <v>3312770.4169999999</v>
      </c>
      <c r="E15" s="3">
        <v>0</v>
      </c>
      <c r="F15" s="3">
        <f>SUM(B15:E15)</f>
        <v>3814108463.9724998</v>
      </c>
      <c r="I15" s="7" t="s">
        <v>10</v>
      </c>
      <c r="J15" s="11">
        <v>11759098040.530001</v>
      </c>
      <c r="K15" s="9"/>
      <c r="L15" s="9"/>
      <c r="M15" s="9"/>
      <c r="N15" s="9"/>
      <c r="O15" s="9"/>
      <c r="P15" s="7" t="s">
        <v>11</v>
      </c>
      <c r="Q15" s="11">
        <v>517958445.36500001</v>
      </c>
      <c r="R15" s="11">
        <v>187895409.59999999</v>
      </c>
      <c r="S15" s="11">
        <v>247264496.2105</v>
      </c>
      <c r="T15" s="9"/>
      <c r="U15" s="9"/>
      <c r="V15" s="9"/>
      <c r="W15" s="9"/>
      <c r="X15" s="9"/>
      <c r="Y15" s="9"/>
    </row>
    <row r="16" spans="1:25" x14ac:dyDescent="0.3">
      <c r="A16" s="1" t="s">
        <v>18</v>
      </c>
      <c r="B16" s="3">
        <v>1184490035.8169999</v>
      </c>
      <c r="C16" s="3">
        <v>2027131575.76</v>
      </c>
      <c r="D16" s="3">
        <v>0</v>
      </c>
      <c r="E16" s="3">
        <v>0</v>
      </c>
      <c r="F16" s="3">
        <f>SUM(B16:E16)</f>
        <v>3211621611.5769997</v>
      </c>
      <c r="I16" s="9"/>
      <c r="J16" s="9"/>
      <c r="K16" s="9"/>
      <c r="L16" s="9"/>
      <c r="M16" s="9"/>
      <c r="N16" s="9"/>
      <c r="O16" s="9"/>
      <c r="P16" s="7" t="s">
        <v>6</v>
      </c>
      <c r="Q16" s="11">
        <v>12246758134.177</v>
      </c>
      <c r="R16" s="11">
        <v>12316068071.573</v>
      </c>
      <c r="S16" s="11">
        <v>167227091.9655</v>
      </c>
      <c r="T16" s="9"/>
      <c r="U16" s="9"/>
      <c r="V16" s="9"/>
      <c r="W16" s="9"/>
      <c r="X16" s="9"/>
      <c r="Y16" s="9"/>
    </row>
    <row r="17" spans="1:25" x14ac:dyDescent="0.3">
      <c r="A17" s="1" t="s">
        <v>7</v>
      </c>
      <c r="B17" s="3">
        <v>1686653286.4061</v>
      </c>
      <c r="C17" s="3">
        <v>53846591.609200001</v>
      </c>
      <c r="D17" s="3">
        <v>311726.91629999998</v>
      </c>
      <c r="E17" s="3">
        <v>0</v>
      </c>
      <c r="F17" s="3">
        <f>SUM(B17:E17)</f>
        <v>1740811604.9316001</v>
      </c>
      <c r="I17" s="9"/>
      <c r="J17" s="9"/>
      <c r="K17" s="9"/>
      <c r="L17" s="9"/>
      <c r="M17" s="9"/>
      <c r="N17" s="9"/>
      <c r="O17" s="9"/>
      <c r="P17" s="7" t="s">
        <v>19</v>
      </c>
      <c r="Q17" s="11">
        <v>22366311834.522999</v>
      </c>
      <c r="R17" s="11">
        <v>22033889696.327999</v>
      </c>
      <c r="S17" s="11">
        <v>87254019.739999995</v>
      </c>
      <c r="T17" s="9"/>
      <c r="U17" s="9"/>
      <c r="V17" s="9"/>
      <c r="W17" s="9"/>
      <c r="X17" s="9"/>
      <c r="Y17" s="9"/>
    </row>
    <row r="18" spans="1:25" x14ac:dyDescent="0.3">
      <c r="A18" s="1" t="s">
        <v>21</v>
      </c>
      <c r="B18" s="3">
        <v>944961008.83000004</v>
      </c>
      <c r="C18" s="3">
        <v>168649705.375</v>
      </c>
      <c r="D18" s="3">
        <v>0</v>
      </c>
      <c r="E18" s="3">
        <v>0</v>
      </c>
      <c r="F18" s="3">
        <f>SUM(B18:E18)</f>
        <v>1113610714.2049999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x14ac:dyDescent="0.3">
      <c r="A19" s="1" t="s">
        <v>11</v>
      </c>
      <c r="B19" s="3">
        <v>517958445.36500001</v>
      </c>
      <c r="C19" s="3">
        <v>187895409.59999999</v>
      </c>
      <c r="D19" s="3">
        <v>247264496.2105</v>
      </c>
      <c r="E19" s="3">
        <v>0</v>
      </c>
      <c r="F19" s="3">
        <f>SUM(B19:E19)</f>
        <v>953118351.17550004</v>
      </c>
    </row>
  </sheetData>
  <sortState xmlns:xlrd2="http://schemas.microsoft.com/office/spreadsheetml/2017/richdata2" ref="A2:F19">
    <sortCondition descending="1" ref="F1:F19"/>
  </sortState>
  <phoneticPr fontId="2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胡逸飞</dc:creator>
  <cp:lastModifiedBy>胡 逸飞</cp:lastModifiedBy>
  <dcterms:created xsi:type="dcterms:W3CDTF">2023-05-12T11:15:00Z</dcterms:created>
  <dcterms:modified xsi:type="dcterms:W3CDTF">2025-11-10T08:33:32Z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ED45C5BF74FC4D9996A4391C1E897BF0_12</vt:lpwstr>
  </property>
</Properties>
</file>